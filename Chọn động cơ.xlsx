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87d16081171e7d9/Tài liệu/"/>
    </mc:Choice>
  </mc:AlternateContent>
  <xr:revisionPtr revIDLastSave="25" documentId="8_{4DDF674B-8255-45C9-8B5C-98E7DBA1CD6E}" xr6:coauthVersionLast="47" xr6:coauthVersionMax="47" xr10:uidLastSave="{5E1752C9-58B0-49A2-92A3-01221F7D31CC}"/>
  <bookViews>
    <workbookView xWindow="-108" yWindow="-108" windowWidth="23256" windowHeight="12456" xr2:uid="{99195446-3A42-4F6F-B806-A168639FFF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1" i="1" l="1"/>
  <c r="F20" i="1"/>
  <c r="F19" i="1"/>
  <c r="F18" i="1"/>
  <c r="F17" i="1"/>
  <c r="F16" i="1"/>
  <c r="F15" i="1"/>
  <c r="F14" i="1"/>
  <c r="F13" i="1"/>
  <c r="F12" i="1"/>
  <c r="F11" i="1"/>
  <c r="F10" i="1"/>
  <c r="F9" i="1"/>
  <c r="F8" i="1" l="1"/>
  <c r="F7" i="1"/>
  <c r="F6" i="1"/>
  <c r="B12" i="1"/>
  <c r="F4" i="1" s="1"/>
  <c r="F2" i="1"/>
  <c r="F3" i="1" s="1"/>
</calcChain>
</file>

<file path=xl/sharedStrings.xml><?xml version="1.0" encoding="utf-8"?>
<sst xmlns="http://schemas.openxmlformats.org/spreadsheetml/2006/main" count="32" uniqueCount="32">
  <si>
    <t>Thông số đầu vào</t>
  </si>
  <si>
    <t>P</t>
  </si>
  <si>
    <t>n</t>
  </si>
  <si>
    <t>L</t>
  </si>
  <si>
    <t>Hiệu suất khớp nối</t>
  </si>
  <si>
    <t>hiệu suất bộ đai</t>
  </si>
  <si>
    <t>hiệu suất bánh răng trụ</t>
  </si>
  <si>
    <t>hiệu suất bánh răng côn</t>
  </si>
  <si>
    <t>hiệu suất 1 cặp ổ lăn</t>
  </si>
  <si>
    <t>Công suất cần thiết</t>
  </si>
  <si>
    <t>Hiệu suất hệ thống</t>
  </si>
  <si>
    <t>Chọn tỷ số đai thang</t>
  </si>
  <si>
    <t>Chọn tỷ số hệ giảm tốc</t>
  </si>
  <si>
    <t>Vòng quay sơ bộ</t>
  </si>
  <si>
    <t>Tỉ số truyền chung</t>
  </si>
  <si>
    <t>Chọn động cơ</t>
  </si>
  <si>
    <t>Tỷ số truyền hgt thực sự</t>
  </si>
  <si>
    <t>Tỷ số truyền chung thực sự</t>
  </si>
  <si>
    <t>Tỷ số truyền bánh răng côn(NHL)</t>
  </si>
  <si>
    <t>Tỷ số truyền bánh răng trụ</t>
  </si>
  <si>
    <t>Tính toán công suất trục III</t>
  </si>
  <si>
    <t>Tính toán công suất trục I</t>
  </si>
  <si>
    <t>Công suất trục động cơ</t>
  </si>
  <si>
    <t>Vòng quay trục I</t>
  </si>
  <si>
    <t>Vòng quay trục II</t>
  </si>
  <si>
    <t>Vòng quay trục III</t>
  </si>
  <si>
    <t>Moment xoắn trục I</t>
  </si>
  <si>
    <t>Moment xoắn trục II</t>
  </si>
  <si>
    <t>Moment xoắn trục III</t>
  </si>
  <si>
    <t>Tính toán công suất trục II</t>
  </si>
  <si>
    <t>Moment xoắn động cơ</t>
  </si>
  <si>
    <t>Moment xoắn tải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</si>
</sst>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" x14ac:knownFonts="1">
    <font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164" fontId="0" fillId="0" borderId="0" xfId="0" applyNumberFormat="1"/>
    <xf numFmtId="0" fontId="0" fillId="4" borderId="1" xfId="0" applyFill="1" applyBorder="1"/>
    <xf numFmtId="0" fontId="0" fillId="2" borderId="1" xfId="0" applyFill="1" applyBorder="1" applyAlignment="1">
      <alignment horizontal="center"/>
    </xf>
    <xf numFmtId="0" fontId="0" fillId="3" borderId="1" xfId="0" applyFill="1" applyBorder="1"/>
    <xf numFmtId="164" fontId="0" fillId="8" borderId="2" xfId="0" applyNumberFormat="1" applyFill="1" applyBorder="1"/>
    <xf numFmtId="164" fontId="0" fillId="2" borderId="3" xfId="0" applyNumberFormat="1" applyFill="1" applyBorder="1"/>
    <xf numFmtId="164" fontId="0" fillId="7" borderId="2" xfId="0" applyNumberFormat="1" applyFill="1" applyBorder="1"/>
    <xf numFmtId="164" fontId="0" fillId="7" borderId="3" xfId="0" applyNumberFormat="1" applyFill="1" applyBorder="1"/>
    <xf numFmtId="164" fontId="0" fillId="3" borderId="2" xfId="0" applyNumberFormat="1" applyFill="1" applyBorder="1"/>
    <xf numFmtId="164" fontId="0" fillId="3" borderId="4" xfId="0" applyNumberFormat="1" applyFill="1" applyBorder="1"/>
    <xf numFmtId="164" fontId="0" fillId="3" borderId="3" xfId="0" applyNumberFormat="1" applyFill="1" applyBorder="1"/>
    <xf numFmtId="164" fontId="0" fillId="6" borderId="2" xfId="0" applyNumberFormat="1" applyFill="1" applyBorder="1"/>
    <xf numFmtId="164" fontId="0" fillId="6" borderId="4" xfId="0" applyNumberFormat="1" applyFill="1" applyBorder="1"/>
    <xf numFmtId="164" fontId="0" fillId="6" borderId="3" xfId="0" applyNumberFormat="1" applyFill="1" applyBorder="1"/>
    <xf numFmtId="164" fontId="0" fillId="5" borderId="2" xfId="0" applyNumberFormat="1" applyFill="1" applyBorder="1"/>
    <xf numFmtId="164" fontId="0" fillId="5" borderId="4" xfId="0" applyNumberFormat="1" applyFill="1" applyBorder="1"/>
    <xf numFmtId="164" fontId="0" fillId="5" borderId="3" xfId="0" applyNumberFormat="1" applyFill="1" applyBorder="1"/>
    <xf numFmtId="164" fontId="0" fillId="4" borderId="2" xfId="0" applyNumberFormat="1" applyFill="1" applyBorder="1"/>
    <xf numFmtId="164" fontId="0" fillId="4" borderId="4" xfId="0" applyNumberFormat="1" applyFill="1" applyBorder="1"/>
    <xf numFmtId="164" fontId="0" fillId="4" borderId="3" xfId="0" applyNumberFormat="1" applyFill="1" applyBorder="1"/>
    <xf numFmtId="0" fontId="0" fillId="8" borderId="5" xfId="0" applyFill="1" applyBorder="1"/>
    <xf numFmtId="0" fontId="0" fillId="2" borderId="6" xfId="0" applyFill="1" applyBorder="1"/>
    <xf numFmtId="0" fontId="0" fillId="7" borderId="5" xfId="0" applyFill="1" applyBorder="1"/>
    <xf numFmtId="0" fontId="0" fillId="7" borderId="6" xfId="0" applyFill="1" applyBorder="1"/>
    <xf numFmtId="0" fontId="0" fillId="3" borderId="5" xfId="0" applyFill="1" applyBorder="1"/>
    <xf numFmtId="0" fontId="0" fillId="3" borderId="7" xfId="0" applyFill="1" applyBorder="1"/>
    <xf numFmtId="0" fontId="0" fillId="3" borderId="6" xfId="0" applyFill="1" applyBorder="1"/>
    <xf numFmtId="0" fontId="0" fillId="6" borderId="5" xfId="0" applyFill="1" applyBorder="1"/>
    <xf numFmtId="0" fontId="0" fillId="6" borderId="7" xfId="0" applyFill="1" applyBorder="1"/>
    <xf numFmtId="0" fontId="0" fillId="6" borderId="6" xfId="0" applyFill="1" applyBorder="1"/>
    <xf numFmtId="0" fontId="0" fillId="5" borderId="5" xfId="0" applyFill="1" applyBorder="1"/>
    <xf numFmtId="0" fontId="0" fillId="5" borderId="7" xfId="0" applyFill="1" applyBorder="1"/>
    <xf numFmtId="0" fontId="0" fillId="5" borderId="6" xfId="0" applyFill="1" applyBorder="1"/>
    <xf numFmtId="11" fontId="0" fillId="4" borderId="5" xfId="0" applyNumberFormat="1" applyFill="1" applyBorder="1"/>
    <xf numFmtId="11" fontId="0" fillId="4" borderId="7" xfId="0" applyNumberFormat="1" applyFill="1" applyBorder="1"/>
    <xf numFmtId="11" fontId="0" fillId="4" borderId="6" xfId="0" applyNumberFormat="1" applyFill="1" applyBorder="1"/>
    <xf numFmtId="0" fontId="0" fillId="7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80018-E3F1-4748-BA6C-37E884B63494}">
  <dimension ref="A1:G21"/>
  <sheetViews>
    <sheetView tabSelected="1" workbookViewId="0">
      <selection activeCell="J13" sqref="J13"/>
    </sheetView>
  </sheetViews>
  <sheetFormatPr defaultRowHeight="14.4" x14ac:dyDescent="0.3"/>
  <cols>
    <col min="1" max="1" width="20" bestFit="1" customWidth="1"/>
    <col min="5" max="5" width="26.88671875" bestFit="1" customWidth="1"/>
    <col min="6" max="6" width="12.5546875" style="1" bestFit="1" customWidth="1"/>
  </cols>
  <sheetData>
    <row r="1" spans="1:7" x14ac:dyDescent="0.3">
      <c r="A1" s="3" t="s">
        <v>0</v>
      </c>
      <c r="B1" s="3"/>
    </row>
    <row r="2" spans="1:7" x14ac:dyDescent="0.3">
      <c r="A2" s="4" t="s">
        <v>1</v>
      </c>
      <c r="B2" s="2">
        <v>5</v>
      </c>
      <c r="E2" s="21" t="s">
        <v>10</v>
      </c>
      <c r="F2" s="5">
        <f>B5*B6*B7*B8*B9^4</f>
        <v>0.82401985255645427</v>
      </c>
    </row>
    <row r="3" spans="1:7" x14ac:dyDescent="0.3">
      <c r="A3" s="4" t="s">
        <v>2</v>
      </c>
      <c r="B3" s="2">
        <v>65</v>
      </c>
      <c r="E3" s="22" t="s">
        <v>9</v>
      </c>
      <c r="F3" s="6">
        <f>B2/F2</f>
        <v>6.0678149737386891</v>
      </c>
    </row>
    <row r="4" spans="1:7" x14ac:dyDescent="0.3">
      <c r="A4" s="4" t="s">
        <v>3</v>
      </c>
      <c r="B4" s="2">
        <v>9</v>
      </c>
      <c r="E4" s="23" t="s">
        <v>13</v>
      </c>
      <c r="F4" s="7">
        <f>B12*B3</f>
        <v>1456</v>
      </c>
    </row>
    <row r="5" spans="1:7" x14ac:dyDescent="0.3">
      <c r="A5" s="4" t="s">
        <v>4</v>
      </c>
      <c r="B5" s="2">
        <v>0.98</v>
      </c>
      <c r="E5" s="24" t="s">
        <v>15</v>
      </c>
      <c r="F5" s="8">
        <v>1440</v>
      </c>
      <c r="G5" s="37">
        <v>7.5</v>
      </c>
    </row>
    <row r="6" spans="1:7" x14ac:dyDescent="0.3">
      <c r="A6" s="4" t="s">
        <v>5</v>
      </c>
      <c r="B6" s="2">
        <v>0.94</v>
      </c>
      <c r="E6" s="25" t="s">
        <v>17</v>
      </c>
      <c r="F6" s="9">
        <f>F5/B3</f>
        <v>22.153846153846153</v>
      </c>
    </row>
    <row r="7" spans="1:7" x14ac:dyDescent="0.3">
      <c r="A7" s="4" t="s">
        <v>6</v>
      </c>
      <c r="B7" s="2">
        <v>0.97</v>
      </c>
      <c r="E7" s="26" t="s">
        <v>16</v>
      </c>
      <c r="F7" s="10">
        <f>F6/2</f>
        <v>11.076923076923077</v>
      </c>
    </row>
    <row r="8" spans="1:7" x14ac:dyDescent="0.3">
      <c r="A8" s="4" t="s">
        <v>7</v>
      </c>
      <c r="B8" s="2">
        <v>0.96</v>
      </c>
      <c r="E8" s="26" t="s">
        <v>18</v>
      </c>
      <c r="F8" s="10">
        <f>0.63*F7^(2/3)</f>
        <v>3.1305451805676823</v>
      </c>
    </row>
    <row r="9" spans="1:7" x14ac:dyDescent="0.3">
      <c r="A9" s="4" t="s">
        <v>8</v>
      </c>
      <c r="B9" s="2">
        <v>0.99</v>
      </c>
      <c r="E9" s="27" t="s">
        <v>19</v>
      </c>
      <c r="F9" s="11">
        <f>F7/F8</f>
        <v>3.538336755425592</v>
      </c>
    </row>
    <row r="10" spans="1:7" x14ac:dyDescent="0.3">
      <c r="A10" s="4" t="s">
        <v>11</v>
      </c>
      <c r="B10" s="2">
        <v>2</v>
      </c>
      <c r="E10" s="28" t="s">
        <v>20</v>
      </c>
      <c r="F10" s="12">
        <f>B2/(B5*B9)</f>
        <v>5.1535765821480108</v>
      </c>
    </row>
    <row r="11" spans="1:7" x14ac:dyDescent="0.3">
      <c r="A11" s="4" t="s">
        <v>12</v>
      </c>
      <c r="B11" s="2">
        <v>11.2</v>
      </c>
      <c r="E11" s="29" t="s">
        <v>29</v>
      </c>
      <c r="F11" s="13">
        <f>F10/(B7*B9)</f>
        <v>5.3666318672789872</v>
      </c>
    </row>
    <row r="12" spans="1:7" x14ac:dyDescent="0.3">
      <c r="A12" s="4" t="s">
        <v>14</v>
      </c>
      <c r="B12" s="2">
        <f>B10*B11</f>
        <v>22.4</v>
      </c>
      <c r="E12" s="29" t="s">
        <v>21</v>
      </c>
      <c r="F12" s="13">
        <f>F11/(B8*B9)</f>
        <v>5.6467086145612244</v>
      </c>
    </row>
    <row r="13" spans="1:7" x14ac:dyDescent="0.3">
      <c r="E13" s="30" t="s">
        <v>22</v>
      </c>
      <c r="F13" s="14">
        <f>F12/(B6*B9)</f>
        <v>6.0678149737386899</v>
      </c>
    </row>
    <row r="14" spans="1:7" x14ac:dyDescent="0.3">
      <c r="E14" s="31" t="s">
        <v>23</v>
      </c>
      <c r="F14" s="15">
        <f>F5/B10</f>
        <v>720</v>
      </c>
    </row>
    <row r="15" spans="1:7" x14ac:dyDescent="0.3">
      <c r="E15" s="32" t="s">
        <v>24</v>
      </c>
      <c r="F15" s="16">
        <f>F14/F8</f>
        <v>229.99188910266349</v>
      </c>
    </row>
    <row r="16" spans="1:7" x14ac:dyDescent="0.3">
      <c r="E16" s="33" t="s">
        <v>25</v>
      </c>
      <c r="F16" s="17">
        <f>F15/F9</f>
        <v>65</v>
      </c>
    </row>
    <row r="17" spans="5:6" x14ac:dyDescent="0.3">
      <c r="E17" s="34" t="s">
        <v>26</v>
      </c>
      <c r="F17" s="18">
        <f>9.55*10^6*F12/F14</f>
        <v>74897.315651471799</v>
      </c>
    </row>
    <row r="18" spans="5:6" x14ac:dyDescent="0.3">
      <c r="E18" s="35" t="s">
        <v>27</v>
      </c>
      <c r="F18" s="19">
        <f t="shared" ref="F18:F19" si="0">9.55*10^6*F13/F15</f>
        <v>251955.11557078388</v>
      </c>
    </row>
    <row r="19" spans="5:6" x14ac:dyDescent="0.3">
      <c r="E19" s="35" t="s">
        <v>28</v>
      </c>
      <c r="F19" s="19">
        <f>9.55*10^6*F10/F16</f>
        <v>757179.32860790007</v>
      </c>
    </row>
    <row r="20" spans="5:6" x14ac:dyDescent="0.3">
      <c r="E20" s="35" t="s">
        <v>30</v>
      </c>
      <c r="F20" s="19">
        <f>9.55*10^6*G5/F5</f>
        <v>49739.583333333336</v>
      </c>
    </row>
    <row r="21" spans="5:6" x14ac:dyDescent="0.3">
      <c r="E21" s="36" t="s">
        <v>31</v>
      </c>
      <c r="F21" s="20">
        <f>9.55*10^6*B2/B3</f>
        <v>734615.38461538462</v>
      </c>
    </row>
  </sheetData>
  <mergeCells count="1">
    <mergeCell ref="A1:B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 Le</dc:creator>
  <cp:lastModifiedBy>Tan Le</cp:lastModifiedBy>
  <dcterms:created xsi:type="dcterms:W3CDTF">2026-02-23T11:01:08Z</dcterms:created>
  <dcterms:modified xsi:type="dcterms:W3CDTF">2026-02-23T11:48:44Z</dcterms:modified>
</cp:coreProperties>
</file>